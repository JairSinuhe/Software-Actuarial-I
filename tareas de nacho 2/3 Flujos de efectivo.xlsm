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9285" firstSheet="2" activeTab="2"/>
  </bookViews>
  <sheets>
    <sheet name="Hoja13" sheetId="15" r:id="rId1"/>
    <sheet name="Hoja3" sheetId="35" r:id="rId2"/>
    <sheet name="Hoja15" sheetId="46" r:id="rId3"/>
    <sheet name="Hoja14" sheetId="45" r:id="rId4"/>
    <sheet name="Hoja12" sheetId="44" r:id="rId5"/>
    <sheet name="Hoja11" sheetId="43" r:id="rId6"/>
    <sheet name="Hoja10" sheetId="42" r:id="rId7"/>
    <sheet name="Hoja9" sheetId="41" r:id="rId8"/>
    <sheet name="Hoja1" sheetId="1" r:id="rId9"/>
  </sheets>
  <calcPr calcId="145621"/>
</workbook>
</file>

<file path=xl/calcChain.xml><?xml version="1.0" encoding="utf-8"?>
<calcChain xmlns="http://schemas.openxmlformats.org/spreadsheetml/2006/main">
  <c r="C11" i="1" l="1"/>
  <c r="D11" i="1"/>
  <c r="E11" i="1"/>
  <c r="F11" i="1"/>
  <c r="G11" i="1"/>
  <c r="H11" i="1"/>
  <c r="I11" i="1"/>
  <c r="J11" i="1"/>
  <c r="K11" i="1"/>
  <c r="B11" i="1"/>
  <c r="D10" i="1"/>
  <c r="E10" i="1"/>
  <c r="F10" i="1"/>
  <c r="G10" i="1"/>
  <c r="H10" i="1" s="1"/>
  <c r="I10" i="1" s="1"/>
  <c r="J10" i="1" s="1"/>
  <c r="K10" i="1" s="1"/>
  <c r="C10" i="1"/>
  <c r="B10" i="1"/>
  <c r="B13" i="1" l="1"/>
</calcChain>
</file>

<file path=xl/sharedStrings.xml><?xml version="1.0" encoding="utf-8"?>
<sst xmlns="http://schemas.openxmlformats.org/spreadsheetml/2006/main" count="105" uniqueCount="28">
  <si>
    <t>Datos de entrada</t>
  </si>
  <si>
    <t>1.Flujo de salida al inicio del año 1</t>
  </si>
  <si>
    <t>2.Flujo de entrada al final del año 1</t>
  </si>
  <si>
    <t>3.Tasa de incremento del flujo de enytrada del año</t>
  </si>
  <si>
    <t>4.Numero de años de los flujo de entrada</t>
  </si>
  <si>
    <t xml:space="preserve">5.Tasa de descuento </t>
  </si>
  <si>
    <t>Calculo de el valor presente neto de una serie de flujos</t>
  </si>
  <si>
    <t>Modelo de flujos</t>
  </si>
  <si>
    <t>Año</t>
  </si>
  <si>
    <t>Flujo de efectivos</t>
  </si>
  <si>
    <t>(Interes simple)</t>
  </si>
  <si>
    <t>Factor de descuento</t>
  </si>
  <si>
    <t xml:space="preserve">Valor presente neto </t>
  </si>
  <si>
    <t>1.Datos de entrada</t>
  </si>
  <si>
    <t>2.Flujo de salida al inicio del año 1</t>
  </si>
  <si>
    <t>5.Tasa de descuento</t>
  </si>
  <si>
    <t>Modelos de flujo</t>
  </si>
  <si>
    <t>Valor presente neto</t>
  </si>
  <si>
    <t>Cf1</t>
  </si>
  <si>
    <t>tInc</t>
  </si>
  <si>
    <t>n</t>
  </si>
  <si>
    <t>i</t>
  </si>
  <si>
    <t>2.Flujo de salida al inicio de año</t>
  </si>
  <si>
    <t>3.Flujo de entrada al inicio del año 1</t>
  </si>
  <si>
    <t>4.Tasa de incremento del flujo de entrada dela año</t>
  </si>
  <si>
    <t>5.Numeros de años de los flujos de entrada</t>
  </si>
  <si>
    <t>6.Tasa de descuento</t>
  </si>
  <si>
    <t>Valor presente Neto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</si>
</sst>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9" fontId="0" fillId="2" borderId="0" xfId="0" applyNumberFormat="1" applyFill="1"/>
    <xf numFmtId="0" fontId="0" fillId="2" borderId="0" xfId="0" applyFill="1"/>
    <xf numFmtId="44" fontId="0" fillId="0" borderId="0" xfId="1" applyFont="1"/>
    <xf numFmtId="44" fontId="0" fillId="2" borderId="0" xfId="1" applyFont="1" applyFill="1"/>
    <xf numFmtId="44" fontId="0" fillId="0" borderId="0" xfId="0" applyNumberFormat="1"/>
    <xf numFmtId="0" fontId="2" fillId="0" borderId="0" xfId="0" applyFont="1"/>
    <xf numFmtId="0" fontId="0" fillId="3" borderId="0" xfId="0" applyFill="1"/>
    <xf numFmtId="44" fontId="0" fillId="3" borderId="0" xfId="1" applyFont="1" applyFill="1"/>
    <xf numFmtId="9" fontId="0" fillId="3" borderId="0" xfId="2" applyFont="1" applyFill="1"/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K13"/>
  <sheetViews>
    <sheetView workbookViewId="0"/>
  </sheetViews>
  <sheetFormatPr baseColWidth="10" defaultRowHeight="15" x14ac:dyDescent="0.25"/>
  <cols>
    <col min="1" max="1" width="46.5703125" bestFit="1" customWidth="1"/>
  </cols>
  <sheetData>
    <row r="1" spans="1:11" x14ac:dyDescent="0.25">
      <c r="A1" s="6" t="s">
        <v>13</v>
      </c>
    </row>
    <row r="2" spans="1:11" x14ac:dyDescent="0.25">
      <c r="A2" t="s">
        <v>14</v>
      </c>
      <c r="B2" s="8">
        <v>40000</v>
      </c>
    </row>
    <row r="3" spans="1:11" x14ac:dyDescent="0.25">
      <c r="A3" t="s">
        <v>3</v>
      </c>
      <c r="B3" s="8">
        <v>12000</v>
      </c>
    </row>
    <row r="4" spans="1:11" x14ac:dyDescent="0.25">
      <c r="A4" t="s">
        <v>4</v>
      </c>
      <c r="B4" s="9">
        <v>0.11999999731779099</v>
      </c>
    </row>
    <row r="5" spans="1:11" x14ac:dyDescent="0.25">
      <c r="A5" t="s">
        <v>15</v>
      </c>
      <c r="B5" s="9">
        <v>10</v>
      </c>
    </row>
    <row r="6" spans="1:11" x14ac:dyDescent="0.25">
      <c r="B6" s="9">
        <v>0.15999999642372131</v>
      </c>
    </row>
    <row r="8" spans="1:11" x14ac:dyDescent="0.25">
      <c r="A8" s="6" t="s">
        <v>16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>
        <v>12000</v>
      </c>
      <c r="C10">
        <v>13440.000057220459</v>
      </c>
      <c r="D10">
        <v>15052.800128173829</v>
      </c>
      <c r="E10">
        <v>16859.136215332033</v>
      </c>
      <c r="F10">
        <v>18882.232641562499</v>
      </c>
      <c r="G10">
        <v>21148.100648587504</v>
      </c>
      <c r="H10">
        <v>23685.872827260006</v>
      </c>
      <c r="I10">
        <v>26528.177679474251</v>
      </c>
      <c r="J10">
        <v>29711.559127507371</v>
      </c>
      <c r="K10">
        <v>33276.946364484007</v>
      </c>
    </row>
    <row r="11" spans="1:11" x14ac:dyDescent="0.25">
      <c r="A11" t="s">
        <v>11</v>
      </c>
      <c r="B11">
        <v>0.7431628765022289</v>
      </c>
      <c r="C11">
        <v>0.64065764146496573</v>
      </c>
      <c r="D11">
        <v>0.55229106101106717</v>
      </c>
      <c r="E11">
        <v>0.4761129756842376</v>
      </c>
      <c r="F11">
        <v>0.41044221356745264</v>
      </c>
      <c r="G11">
        <v>0.35382948854953378</v>
      </c>
      <c r="H11">
        <v>0.30502541607273026</v>
      </c>
      <c r="I11">
        <v>0.26295294050178397</v>
      </c>
      <c r="J11">
        <v>0.22668356561489941</v>
      </c>
      <c r="K11">
        <v>0.19541686364802524</v>
      </c>
    </row>
    <row r="13" spans="1:11" x14ac:dyDescent="0.25">
      <c r="A13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3"/>
  <sheetViews>
    <sheetView workbookViewId="0"/>
  </sheetViews>
  <sheetFormatPr baseColWidth="10" defaultRowHeight="15" x14ac:dyDescent="0.25"/>
  <cols>
    <col min="1" max="1" width="46.5703125" bestFit="1" customWidth="1"/>
  </cols>
  <sheetData>
    <row r="1" spans="1:11" x14ac:dyDescent="0.25">
      <c r="A1" s="6" t="s">
        <v>13</v>
      </c>
    </row>
    <row r="2" spans="1:11" x14ac:dyDescent="0.25">
      <c r="A2" t="s">
        <v>22</v>
      </c>
      <c r="B2" s="8">
        <v>40000</v>
      </c>
    </row>
    <row r="3" spans="1:11" x14ac:dyDescent="0.25">
      <c r="A3" t="s">
        <v>23</v>
      </c>
      <c r="B3" s="8">
        <v>12000</v>
      </c>
    </row>
    <row r="4" spans="1:11" x14ac:dyDescent="0.25">
      <c r="A4" t="s">
        <v>24</v>
      </c>
      <c r="B4" s="9">
        <v>0.11999999731779099</v>
      </c>
    </row>
    <row r="5" spans="1:11" x14ac:dyDescent="0.25">
      <c r="A5" t="s">
        <v>25</v>
      </c>
      <c r="B5" s="7">
        <v>10</v>
      </c>
    </row>
    <row r="6" spans="1:11" x14ac:dyDescent="0.25">
      <c r="A6" t="s">
        <v>26</v>
      </c>
      <c r="B6" s="9">
        <v>0.15999999642372131</v>
      </c>
    </row>
    <row r="8" spans="1:11" x14ac:dyDescent="0.25">
      <c r="A8" s="6" t="s">
        <v>16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 s="3">
        <v>12000</v>
      </c>
      <c r="C10" s="3">
        <v>13440.000057220459</v>
      </c>
      <c r="D10" s="3">
        <v>15052.800128173829</v>
      </c>
      <c r="E10" s="3">
        <v>16859.136215332033</v>
      </c>
      <c r="F10" s="3">
        <v>18882.232641562499</v>
      </c>
      <c r="G10" s="3">
        <v>21148.100648587504</v>
      </c>
      <c r="H10" s="3">
        <v>23685.872827260006</v>
      </c>
      <c r="I10" s="3">
        <v>26528.177679474251</v>
      </c>
      <c r="J10" s="3">
        <v>29711.559127507371</v>
      </c>
      <c r="K10" s="3">
        <v>33276.946364484007</v>
      </c>
    </row>
    <row r="11" spans="1:11" x14ac:dyDescent="0.25">
      <c r="A11" t="s">
        <v>11</v>
      </c>
      <c r="B11">
        <v>0.86206899032298012</v>
      </c>
      <c r="C11">
        <v>0.75757579588912161</v>
      </c>
      <c r="D11">
        <v>0.67567566696791181</v>
      </c>
      <c r="E11">
        <v>0.60975610287965309</v>
      </c>
      <c r="F11">
        <v>0.55555557027275215</v>
      </c>
      <c r="G11">
        <v>0.51020407170268323</v>
      </c>
      <c r="H11">
        <v>0.47169813867055094</v>
      </c>
      <c r="I11">
        <v>0.4385964967317309</v>
      </c>
      <c r="J11">
        <v>0.40983605596270195</v>
      </c>
      <c r="K11">
        <v>0.38461539872299338</v>
      </c>
    </row>
    <row r="13" spans="1:11" x14ac:dyDescent="0.25">
      <c r="A13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K13"/>
  <sheetViews>
    <sheetView tabSelected="1" workbookViewId="0"/>
  </sheetViews>
  <sheetFormatPr baseColWidth="10" defaultRowHeight="15" x14ac:dyDescent="0.25"/>
  <cols>
    <col min="1" max="1" width="46.5703125" bestFit="1" customWidth="1"/>
  </cols>
  <sheetData>
    <row r="1" spans="1:11" x14ac:dyDescent="0.25">
      <c r="A1" s="6" t="s">
        <v>13</v>
      </c>
    </row>
    <row r="2" spans="1:11" x14ac:dyDescent="0.25">
      <c r="A2" t="s">
        <v>22</v>
      </c>
      <c r="B2" s="8">
        <v>40000</v>
      </c>
    </row>
    <row r="3" spans="1:11" x14ac:dyDescent="0.25">
      <c r="A3" t="s">
        <v>23</v>
      </c>
      <c r="B3" s="8">
        <v>12000</v>
      </c>
    </row>
    <row r="4" spans="1:11" x14ac:dyDescent="0.25">
      <c r="A4" t="s">
        <v>24</v>
      </c>
      <c r="B4" s="9">
        <v>0.11999999731779099</v>
      </c>
    </row>
    <row r="5" spans="1:11" x14ac:dyDescent="0.25">
      <c r="A5" t="s">
        <v>25</v>
      </c>
      <c r="B5" s="7">
        <v>10</v>
      </c>
    </row>
    <row r="6" spans="1:11" x14ac:dyDescent="0.25">
      <c r="A6" t="s">
        <v>26</v>
      </c>
      <c r="B6" s="9">
        <v>0.15999999642372131</v>
      </c>
    </row>
    <row r="8" spans="1:11" x14ac:dyDescent="0.25">
      <c r="A8" s="6" t="s">
        <v>16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 s="3">
        <v>12000</v>
      </c>
      <c r="C10" s="3">
        <v>13440.000057220459</v>
      </c>
      <c r="D10" s="3">
        <v>15052.800128173829</v>
      </c>
      <c r="E10" s="3">
        <v>16859.136215332033</v>
      </c>
      <c r="F10" s="3">
        <v>18882.232641562499</v>
      </c>
      <c r="G10" s="3">
        <v>21148.100648587504</v>
      </c>
      <c r="H10" s="3">
        <v>23685.872827260006</v>
      </c>
      <c r="I10" s="3">
        <v>26528.177679474251</v>
      </c>
      <c r="J10" s="3">
        <v>29711.559127507371</v>
      </c>
      <c r="K10" s="3">
        <v>33276.946364484007</v>
      </c>
    </row>
    <row r="11" spans="1:11" x14ac:dyDescent="0.25">
      <c r="A11" t="s">
        <v>11</v>
      </c>
      <c r="B11">
        <v>0.86206899032298012</v>
      </c>
      <c r="C11">
        <v>0.75757579588912161</v>
      </c>
      <c r="D11">
        <v>0.67567566696791181</v>
      </c>
      <c r="E11">
        <v>0.60975610287965309</v>
      </c>
      <c r="F11">
        <v>0.55555557027275215</v>
      </c>
      <c r="G11">
        <v>0.51020407170268323</v>
      </c>
      <c r="H11">
        <v>0.47169813867055094</v>
      </c>
      <c r="I11">
        <v>0.4385964967317309</v>
      </c>
      <c r="J11">
        <v>0.40983605596270195</v>
      </c>
      <c r="K11">
        <v>0.38461539872299338</v>
      </c>
    </row>
    <row r="13" spans="1:11" x14ac:dyDescent="0.25">
      <c r="A13" t="s">
        <v>17</v>
      </c>
      <c r="B13">
        <v>70040.837248338939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K13"/>
  <sheetViews>
    <sheetView workbookViewId="0"/>
  </sheetViews>
  <sheetFormatPr baseColWidth="10" defaultRowHeight="15" x14ac:dyDescent="0.25"/>
  <cols>
    <col min="1" max="1" width="46.5703125" bestFit="1" customWidth="1"/>
  </cols>
  <sheetData>
    <row r="1" spans="1:11" x14ac:dyDescent="0.25">
      <c r="A1" s="6" t="s">
        <v>13</v>
      </c>
    </row>
    <row r="2" spans="1:11" x14ac:dyDescent="0.25">
      <c r="A2" t="s">
        <v>22</v>
      </c>
      <c r="B2" s="8">
        <v>40000</v>
      </c>
    </row>
    <row r="3" spans="1:11" x14ac:dyDescent="0.25">
      <c r="A3" t="s">
        <v>23</v>
      </c>
      <c r="B3" s="8">
        <v>12000</v>
      </c>
    </row>
    <row r="4" spans="1:11" x14ac:dyDescent="0.25">
      <c r="A4" t="s">
        <v>24</v>
      </c>
      <c r="B4" s="9">
        <v>0.11999999731779099</v>
      </c>
    </row>
    <row r="5" spans="1:11" x14ac:dyDescent="0.25">
      <c r="A5" t="s">
        <v>25</v>
      </c>
      <c r="B5" s="7">
        <v>10</v>
      </c>
    </row>
    <row r="6" spans="1:11" x14ac:dyDescent="0.25">
      <c r="A6" t="s">
        <v>26</v>
      </c>
      <c r="B6" s="9">
        <v>0.15999999642372131</v>
      </c>
    </row>
    <row r="8" spans="1:11" x14ac:dyDescent="0.25">
      <c r="A8" s="6" t="s">
        <v>16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 s="3">
        <v>12000</v>
      </c>
      <c r="C10" s="3">
        <v>13440.000057220459</v>
      </c>
      <c r="D10" s="3">
        <v>15052.800128173829</v>
      </c>
      <c r="E10" s="3">
        <v>16859.136215332033</v>
      </c>
      <c r="F10" s="3">
        <v>18882.232641562499</v>
      </c>
      <c r="G10" s="3">
        <v>21148.100648587504</v>
      </c>
      <c r="H10" s="3">
        <v>23685.872827260006</v>
      </c>
      <c r="I10" s="3">
        <v>26528.177679474251</v>
      </c>
      <c r="J10" s="3">
        <v>29711.559127507371</v>
      </c>
      <c r="K10" s="3">
        <v>33276.946364484007</v>
      </c>
    </row>
    <row r="11" spans="1:11" x14ac:dyDescent="0.25">
      <c r="A11" t="s">
        <v>11</v>
      </c>
      <c r="B11">
        <v>0.86206899032298012</v>
      </c>
      <c r="C11">
        <v>0.75757579588912161</v>
      </c>
      <c r="D11">
        <v>0.67567566696791181</v>
      </c>
      <c r="E11">
        <v>0.60975610287965309</v>
      </c>
      <c r="F11">
        <v>0.55555557027275215</v>
      </c>
      <c r="G11">
        <v>0.51020407170268323</v>
      </c>
      <c r="H11">
        <v>0.47169813867055094</v>
      </c>
      <c r="I11">
        <v>0.4385964967317309</v>
      </c>
      <c r="J11">
        <v>0.40983605596270195</v>
      </c>
      <c r="K11">
        <v>0.38461539872299338</v>
      </c>
    </row>
    <row r="13" spans="1:11" x14ac:dyDescent="0.25">
      <c r="A13" t="s">
        <v>17</v>
      </c>
      <c r="B13">
        <v>57242.011240419262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K13"/>
  <sheetViews>
    <sheetView workbookViewId="0"/>
  </sheetViews>
  <sheetFormatPr baseColWidth="10" defaultRowHeight="15" x14ac:dyDescent="0.25"/>
  <cols>
    <col min="1" max="1" width="46.5703125" bestFit="1" customWidth="1"/>
  </cols>
  <sheetData>
    <row r="1" spans="1:11" x14ac:dyDescent="0.25">
      <c r="A1" s="6" t="s">
        <v>13</v>
      </c>
    </row>
    <row r="2" spans="1:11" x14ac:dyDescent="0.25">
      <c r="A2" t="s">
        <v>22</v>
      </c>
      <c r="B2" s="8">
        <v>40000</v>
      </c>
    </row>
    <row r="3" spans="1:11" x14ac:dyDescent="0.25">
      <c r="A3" t="s">
        <v>23</v>
      </c>
      <c r="B3" s="8">
        <v>12000</v>
      </c>
    </row>
    <row r="4" spans="1:11" x14ac:dyDescent="0.25">
      <c r="A4" t="s">
        <v>24</v>
      </c>
      <c r="B4" s="9">
        <v>0.11999999731779099</v>
      </c>
    </row>
    <row r="5" spans="1:11" x14ac:dyDescent="0.25">
      <c r="A5" t="s">
        <v>25</v>
      </c>
      <c r="B5" s="7">
        <v>10</v>
      </c>
    </row>
    <row r="6" spans="1:11" x14ac:dyDescent="0.25">
      <c r="A6" t="s">
        <v>26</v>
      </c>
      <c r="B6" s="9">
        <v>0.15999999642372131</v>
      </c>
    </row>
    <row r="8" spans="1:11" x14ac:dyDescent="0.25">
      <c r="A8" s="6" t="s">
        <v>16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 s="3">
        <v>12000</v>
      </c>
      <c r="C10" s="3">
        <v>13440.000057220459</v>
      </c>
      <c r="D10" s="3">
        <v>15052.800128173829</v>
      </c>
      <c r="E10" s="3">
        <v>16859.136215332033</v>
      </c>
      <c r="F10" s="3">
        <v>18882.232641562499</v>
      </c>
      <c r="G10" s="3">
        <v>21148.100648587504</v>
      </c>
      <c r="H10" s="3">
        <v>23685.872827260006</v>
      </c>
      <c r="I10" s="3">
        <v>26528.177679474251</v>
      </c>
      <c r="J10" s="3">
        <v>29711.559127507371</v>
      </c>
      <c r="K10" s="3">
        <v>33276.946364484007</v>
      </c>
    </row>
    <row r="11" spans="1:11" x14ac:dyDescent="0.25">
      <c r="A11" t="s">
        <v>11</v>
      </c>
      <c r="B11">
        <v>0.86206899032298012</v>
      </c>
      <c r="C11">
        <v>0.75757579588912161</v>
      </c>
      <c r="D11">
        <v>0.67567566696791181</v>
      </c>
      <c r="E11">
        <v>0.60975610287965309</v>
      </c>
      <c r="F11">
        <v>0.55555557027275215</v>
      </c>
      <c r="G11">
        <v>0.51020407170268323</v>
      </c>
      <c r="H11">
        <v>0.47169813867055094</v>
      </c>
      <c r="I11">
        <v>0.4385964967317309</v>
      </c>
      <c r="J11">
        <v>0.40983605596270195</v>
      </c>
      <c r="K11">
        <v>0.38461539872299338</v>
      </c>
    </row>
    <row r="13" spans="1:11" x14ac:dyDescent="0.25">
      <c r="A13" t="s">
        <v>17</v>
      </c>
      <c r="B13">
        <v>70040.837248338939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K13"/>
  <sheetViews>
    <sheetView workbookViewId="0"/>
  </sheetViews>
  <sheetFormatPr baseColWidth="10" defaultRowHeight="15" x14ac:dyDescent="0.25"/>
  <cols>
    <col min="1" max="1" width="46.5703125" bestFit="1" customWidth="1"/>
  </cols>
  <sheetData>
    <row r="1" spans="1:11" x14ac:dyDescent="0.25">
      <c r="A1" s="6" t="s">
        <v>13</v>
      </c>
    </row>
    <row r="2" spans="1:11" x14ac:dyDescent="0.25">
      <c r="A2" t="s">
        <v>22</v>
      </c>
      <c r="B2" s="8">
        <v>40000</v>
      </c>
    </row>
    <row r="3" spans="1:11" x14ac:dyDescent="0.25">
      <c r="A3" t="s">
        <v>23</v>
      </c>
      <c r="B3" s="8">
        <v>12000</v>
      </c>
    </row>
    <row r="4" spans="1:11" x14ac:dyDescent="0.25">
      <c r="A4" t="s">
        <v>24</v>
      </c>
      <c r="B4" s="9">
        <v>0.11999999731779099</v>
      </c>
    </row>
    <row r="5" spans="1:11" x14ac:dyDescent="0.25">
      <c r="A5" t="s">
        <v>25</v>
      </c>
      <c r="B5" s="7">
        <v>10</v>
      </c>
    </row>
    <row r="6" spans="1:11" x14ac:dyDescent="0.25">
      <c r="A6" t="s">
        <v>26</v>
      </c>
      <c r="B6" s="9">
        <v>0.15999999642372131</v>
      </c>
    </row>
    <row r="8" spans="1:11" x14ac:dyDescent="0.25">
      <c r="A8" s="6" t="s">
        <v>16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 s="3">
        <v>12000</v>
      </c>
      <c r="C10" s="3">
        <v>13440.000057220459</v>
      </c>
      <c r="D10" s="3">
        <v>15052.800128173829</v>
      </c>
      <c r="E10" s="3">
        <v>16859.136215332033</v>
      </c>
      <c r="F10" s="3">
        <v>18882.232641562499</v>
      </c>
      <c r="G10" s="3">
        <v>21148.100648587504</v>
      </c>
      <c r="H10" s="3">
        <v>23685.872827260006</v>
      </c>
      <c r="I10" s="3">
        <v>26528.177679474251</v>
      </c>
      <c r="J10" s="3">
        <v>29711.559127507371</v>
      </c>
      <c r="K10" s="3">
        <v>33276.946364484007</v>
      </c>
    </row>
    <row r="11" spans="1:11" x14ac:dyDescent="0.25">
      <c r="A11" t="s">
        <v>11</v>
      </c>
      <c r="B11">
        <v>0.86206899032298012</v>
      </c>
      <c r="C11">
        <v>0.75757579588912161</v>
      </c>
      <c r="D11">
        <v>0.67567566696791181</v>
      </c>
      <c r="E11">
        <v>0.60975610287965309</v>
      </c>
      <c r="F11">
        <v>0.55555557027275215</v>
      </c>
      <c r="G11">
        <v>0.51020407170268323</v>
      </c>
      <c r="H11">
        <v>0.47169813867055094</v>
      </c>
      <c r="I11">
        <v>0.4385964967317309</v>
      </c>
      <c r="J11">
        <v>0.40983605596270195</v>
      </c>
      <c r="K11">
        <v>0.38461539872299338</v>
      </c>
    </row>
    <row r="13" spans="1:11" x14ac:dyDescent="0.25">
      <c r="A13" t="s">
        <v>27</v>
      </c>
      <c r="B13">
        <v>70040.837248338939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K13"/>
  <sheetViews>
    <sheetView workbookViewId="0"/>
  </sheetViews>
  <sheetFormatPr baseColWidth="10" defaultRowHeight="15" x14ac:dyDescent="0.25"/>
  <cols>
    <col min="1" max="1" width="46.5703125" bestFit="1" customWidth="1"/>
  </cols>
  <sheetData>
    <row r="1" spans="1:11" x14ac:dyDescent="0.25">
      <c r="A1" s="6" t="s">
        <v>13</v>
      </c>
    </row>
    <row r="2" spans="1:11" x14ac:dyDescent="0.25">
      <c r="A2" t="s">
        <v>22</v>
      </c>
      <c r="B2" s="8">
        <v>40000</v>
      </c>
    </row>
    <row r="3" spans="1:11" x14ac:dyDescent="0.25">
      <c r="A3" t="s">
        <v>23</v>
      </c>
      <c r="B3" s="8">
        <v>12000</v>
      </c>
    </row>
    <row r="4" spans="1:11" x14ac:dyDescent="0.25">
      <c r="A4" t="s">
        <v>24</v>
      </c>
      <c r="B4" s="9">
        <v>0.11999999731779099</v>
      </c>
    </row>
    <row r="5" spans="1:11" x14ac:dyDescent="0.25">
      <c r="A5" t="s">
        <v>25</v>
      </c>
      <c r="B5" s="7">
        <v>10</v>
      </c>
    </row>
    <row r="6" spans="1:11" x14ac:dyDescent="0.25">
      <c r="A6" t="s">
        <v>26</v>
      </c>
      <c r="B6" s="9">
        <v>0.15999999642372131</v>
      </c>
    </row>
    <row r="8" spans="1:11" x14ac:dyDescent="0.25">
      <c r="A8" s="6" t="s">
        <v>16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 s="3">
        <v>12000</v>
      </c>
      <c r="C10" s="3">
        <v>13440.000057220459</v>
      </c>
      <c r="D10" s="3">
        <v>15052.800128173829</v>
      </c>
      <c r="E10" s="3">
        <v>16859.136215332033</v>
      </c>
      <c r="F10" s="3">
        <v>18882.232641562499</v>
      </c>
      <c r="G10" s="3">
        <v>21148.100648587504</v>
      </c>
      <c r="H10" s="3">
        <v>23685.872827260006</v>
      </c>
      <c r="I10" s="3">
        <v>26528.177679474251</v>
      </c>
      <c r="J10" s="3">
        <v>29711.559127507371</v>
      </c>
      <c r="K10" s="3">
        <v>33276.946364484007</v>
      </c>
    </row>
    <row r="11" spans="1:11" x14ac:dyDescent="0.25">
      <c r="A11" t="s">
        <v>11</v>
      </c>
      <c r="B11">
        <v>0.86206899032298012</v>
      </c>
      <c r="C11">
        <v>0.75757579588912161</v>
      </c>
      <c r="D11">
        <v>0.67567566696791181</v>
      </c>
      <c r="E11">
        <v>0.60975610287965309</v>
      </c>
      <c r="F11">
        <v>0.55555557027275215</v>
      </c>
      <c r="G11">
        <v>0.51020407170268323</v>
      </c>
      <c r="H11">
        <v>0.47169813867055094</v>
      </c>
      <c r="I11">
        <v>0.4385964967317309</v>
      </c>
      <c r="J11">
        <v>0.40983605596270195</v>
      </c>
      <c r="K11">
        <v>0.38461539872299338</v>
      </c>
    </row>
    <row r="13" spans="1:11" x14ac:dyDescent="0.25">
      <c r="A13" t="s">
        <v>27</v>
      </c>
      <c r="B13">
        <v>70040.837248338939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K13"/>
  <sheetViews>
    <sheetView workbookViewId="0"/>
  </sheetViews>
  <sheetFormatPr baseColWidth="10" defaultRowHeight="15" x14ac:dyDescent="0.25"/>
  <cols>
    <col min="1" max="1" width="46.5703125" bestFit="1" customWidth="1"/>
  </cols>
  <sheetData>
    <row r="1" spans="1:11" x14ac:dyDescent="0.25">
      <c r="A1" s="6" t="s">
        <v>13</v>
      </c>
    </row>
    <row r="2" spans="1:11" x14ac:dyDescent="0.25">
      <c r="A2" t="s">
        <v>22</v>
      </c>
      <c r="B2" s="8">
        <v>40000</v>
      </c>
    </row>
    <row r="3" spans="1:11" x14ac:dyDescent="0.25">
      <c r="A3" t="s">
        <v>23</v>
      </c>
      <c r="B3" s="8">
        <v>12000</v>
      </c>
    </row>
    <row r="4" spans="1:11" x14ac:dyDescent="0.25">
      <c r="A4" t="s">
        <v>24</v>
      </c>
      <c r="B4" s="9">
        <v>0.11999999731779099</v>
      </c>
    </row>
    <row r="5" spans="1:11" x14ac:dyDescent="0.25">
      <c r="A5" t="s">
        <v>25</v>
      </c>
      <c r="B5" s="7">
        <v>10</v>
      </c>
    </row>
    <row r="6" spans="1:11" x14ac:dyDescent="0.25">
      <c r="A6" t="s">
        <v>26</v>
      </c>
      <c r="B6" s="9">
        <v>0.15999999642372131</v>
      </c>
    </row>
    <row r="8" spans="1:11" x14ac:dyDescent="0.25">
      <c r="A8" s="6" t="s">
        <v>16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 s="3">
        <v>12000</v>
      </c>
      <c r="C10" s="3">
        <v>13440.000057220459</v>
      </c>
      <c r="D10" s="3">
        <v>15052.800128173829</v>
      </c>
      <c r="E10" s="3">
        <v>16859.136215332033</v>
      </c>
      <c r="F10" s="3">
        <v>18882.232641562499</v>
      </c>
      <c r="G10" s="3">
        <v>21148.100648587504</v>
      </c>
      <c r="H10" s="3">
        <v>23685.872827260006</v>
      </c>
      <c r="I10" s="3">
        <v>26528.177679474251</v>
      </c>
      <c r="J10" s="3">
        <v>29711.559127507371</v>
      </c>
      <c r="K10" s="3">
        <v>33276.946364484007</v>
      </c>
    </row>
    <row r="11" spans="1:11" x14ac:dyDescent="0.25">
      <c r="A11" t="s">
        <v>11</v>
      </c>
      <c r="B11">
        <v>0.86206899032298012</v>
      </c>
      <c r="C11">
        <v>0.75757579588912161</v>
      </c>
      <c r="D11">
        <v>0.67567566696791181</v>
      </c>
      <c r="E11">
        <v>0.60975610287965309</v>
      </c>
      <c r="F11">
        <v>0.55555557027275215</v>
      </c>
      <c r="G11">
        <v>0.51020407170268323</v>
      </c>
      <c r="H11">
        <v>0.47169813867055094</v>
      </c>
      <c r="I11">
        <v>0.4385964967317309</v>
      </c>
      <c r="J11">
        <v>0.40983605596270195</v>
      </c>
      <c r="K11">
        <v>0.38461539872299338</v>
      </c>
    </row>
    <row r="13" spans="1:11" x14ac:dyDescent="0.25">
      <c r="A13" t="s">
        <v>27</v>
      </c>
      <c r="B13">
        <v>70040.837248338939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3"/>
  <sheetViews>
    <sheetView workbookViewId="0">
      <selection activeCell="B9" sqref="B9"/>
    </sheetView>
  </sheetViews>
  <sheetFormatPr baseColWidth="10" defaultRowHeight="15" x14ac:dyDescent="0.25"/>
  <cols>
    <col min="1" max="1" width="46.5703125" bestFit="1" customWidth="1"/>
    <col min="2" max="2" width="12.5703125" bestFit="1" customWidth="1"/>
  </cols>
  <sheetData>
    <row r="1" spans="1:11" x14ac:dyDescent="0.25">
      <c r="A1" t="s">
        <v>0</v>
      </c>
      <c r="D1" t="s">
        <v>6</v>
      </c>
    </row>
    <row r="2" spans="1:11" x14ac:dyDescent="0.25">
      <c r="A2" t="s">
        <v>1</v>
      </c>
      <c r="B2" s="4">
        <v>40000</v>
      </c>
    </row>
    <row r="3" spans="1:11" x14ac:dyDescent="0.25">
      <c r="A3" t="s">
        <v>2</v>
      </c>
      <c r="B3" s="4">
        <v>12000</v>
      </c>
      <c r="C3" t="s">
        <v>18</v>
      </c>
    </row>
    <row r="4" spans="1:11" x14ac:dyDescent="0.25">
      <c r="A4" t="s">
        <v>3</v>
      </c>
      <c r="B4" s="1">
        <v>0.12</v>
      </c>
      <c r="C4" t="s">
        <v>19</v>
      </c>
    </row>
    <row r="5" spans="1:11" x14ac:dyDescent="0.25">
      <c r="A5" t="s">
        <v>4</v>
      </c>
      <c r="B5" s="2">
        <v>10</v>
      </c>
      <c r="C5" t="s">
        <v>20</v>
      </c>
    </row>
    <row r="6" spans="1:11" x14ac:dyDescent="0.25">
      <c r="A6" t="s">
        <v>5</v>
      </c>
      <c r="B6" s="1">
        <v>0.75</v>
      </c>
      <c r="C6" t="s">
        <v>10</v>
      </c>
      <c r="D6" t="s">
        <v>21</v>
      </c>
      <c r="E6" t="s">
        <v>21</v>
      </c>
    </row>
    <row r="8" spans="1:11" x14ac:dyDescent="0.25">
      <c r="A8" t="s">
        <v>7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 s="3">
        <f>B3</f>
        <v>12000</v>
      </c>
      <c r="C10" s="3">
        <f>B10*(1+$B$4)</f>
        <v>13440.000000000002</v>
      </c>
      <c r="D10" s="3">
        <f t="shared" ref="D10:K10" si="0">C10*(1+$B$4)</f>
        <v>15052.800000000003</v>
      </c>
      <c r="E10" s="3">
        <f t="shared" si="0"/>
        <v>16859.136000000006</v>
      </c>
      <c r="F10" s="3">
        <f t="shared" si="0"/>
        <v>18882.23232000001</v>
      </c>
      <c r="G10" s="3">
        <f t="shared" si="0"/>
        <v>21148.100198400014</v>
      </c>
      <c r="H10" s="3">
        <f t="shared" si="0"/>
        <v>23685.872222208018</v>
      </c>
      <c r="I10" s="3">
        <f t="shared" si="0"/>
        <v>26528.176888872982</v>
      </c>
      <c r="J10" s="3">
        <f t="shared" si="0"/>
        <v>29711.558115537744</v>
      </c>
      <c r="K10" s="3">
        <f t="shared" si="0"/>
        <v>33276.945089402274</v>
      </c>
    </row>
    <row r="11" spans="1:11" x14ac:dyDescent="0.25">
      <c r="A11" t="s">
        <v>11</v>
      </c>
      <c r="B11">
        <f>1/(1+B9*$B$6)</f>
        <v>0.5714285714285714</v>
      </c>
      <c r="C11">
        <f t="shared" ref="C11:K11" si="1">1/(1+C9*$B$6)</f>
        <v>0.4</v>
      </c>
      <c r="D11">
        <f t="shared" si="1"/>
        <v>0.30769230769230771</v>
      </c>
      <c r="E11">
        <f t="shared" si="1"/>
        <v>0.25</v>
      </c>
      <c r="F11">
        <f t="shared" si="1"/>
        <v>0.21052631578947367</v>
      </c>
      <c r="G11">
        <f t="shared" si="1"/>
        <v>0.18181818181818182</v>
      </c>
      <c r="H11">
        <f t="shared" si="1"/>
        <v>0.16</v>
      </c>
      <c r="I11">
        <f t="shared" si="1"/>
        <v>0.14285714285714285</v>
      </c>
      <c r="J11">
        <f t="shared" si="1"/>
        <v>0.12903225806451613</v>
      </c>
      <c r="K11">
        <f t="shared" si="1"/>
        <v>0.11764705882352941</v>
      </c>
    </row>
    <row r="13" spans="1:11" x14ac:dyDescent="0.25">
      <c r="A13" t="s">
        <v>12</v>
      </c>
      <c r="B13" s="5">
        <f>-B2+B10*B11+C10*C11+D10*D11+E10*E11+F10*F11+G10*G11+H10*H11+I10*I11+J10*J11+K10*K11</f>
        <v>4228.0368193357463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Hoja13</vt:lpstr>
      <vt:lpstr>Hoja3</vt:lpstr>
      <vt:lpstr>Hoja15</vt:lpstr>
      <vt:lpstr>Hoja14</vt:lpstr>
      <vt:lpstr>Hoja12</vt:lpstr>
      <vt:lpstr>Hoja11</vt:lpstr>
      <vt:lpstr>Hoja10</vt:lpstr>
      <vt:lpstr>Hoja9</vt:lpstr>
      <vt:lpstr>Hoja1</vt:lpstr>
    </vt:vector>
  </TitlesOfParts>
  <Company>HP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2019-02-14T00:36:16Z</dcterms:created>
  <dcterms:modified xsi:type="dcterms:W3CDTF">2019-02-19T01:44:24Z</dcterms:modified>
</cp:coreProperties>
</file>